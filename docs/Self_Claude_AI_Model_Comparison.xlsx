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<sst xmlns="http://schemas.openxmlformats.org/spreadsheetml/2006/main" count="55" uniqueCount="39">
  <si>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 xml:space="preserve">AI Model Comparison — Context Window &amp; Pricing</t>
  </si>
  <si>
    <t xml:space="preserve">Compiled from public pricing aggregators, July 2026 — verify current rates directly with each provider before relying on this for cost decisions.</t>
  </si>
  <si>
    <t xml:space="preserve">Assumptions (edit these — cost estimates recalculate automatically)</t>
  </si>
  <si>
    <t xml:space="preserve">Avg. input tokens per query</t>
  </si>
  <si>
    <t xml:space="preserve">Avg. output tokens per query</t>
  </si>
  <si>
    <t xml:space="preserve">Model</t>
  </si>
  <si>
    <t xml:space="preserve">Provider</t>
  </si>
  <si>
    <t xml:space="preserve">Type</t>
  </si>
  <si>
    <t xml:space="preserve">Context Window (tokens)</t>
  </si>
  <si>
    <t xml:space="preserve">Input $/M tokens</t>
  </si>
  <si>
    <t xml:space="preserve">Output $/M tokens</t>
  </si>
  <si>
    <t xml:space="preserve">Est. Cost per Query ($)</t>
  </si>
  <si>
    <t xml:space="preserve">Release Year</t>
  </si>
  <si>
    <t xml:space="preserve">Claude Opus 4.6</t>
  </si>
  <si>
    <t xml:space="preserve">Anthropic</t>
  </si>
  <si>
    <t xml:space="preserve">Proprietary</t>
  </si>
  <si>
    <t xml:space="preserve">Claude Sonnet 4.6</t>
  </si>
  <si>
    <t xml:space="preserve">Claude Haiku 4.5</t>
  </si>
  <si>
    <t xml:space="preserve">GPT-5.5</t>
  </si>
  <si>
    <t xml:space="preserve">OpenAI</t>
  </si>
  <si>
    <t xml:space="preserve">GPT-5.4</t>
  </si>
  <si>
    <t xml:space="preserve">Gemini 3.1 Pro</t>
  </si>
  <si>
    <t xml:space="preserve">Google</t>
  </si>
  <si>
    <t xml:space="preserve">Gemini 3.1 Flash</t>
  </si>
  <si>
    <t xml:space="preserve">DeepSeek V4-Flash</t>
  </si>
  <si>
    <t xml:space="preserve">DeepSeek</t>
  </si>
  <si>
    <t xml:space="preserve">Open-weight</t>
  </si>
  <si>
    <t xml:space="preserve">DeepSeek V4-Pro</t>
  </si>
  <si>
    <t xml:space="preserve">Llama 4 Maverick</t>
  </si>
  <si>
    <t xml:space="preserve">Meta</t>
  </si>
  <si>
    <t xml:space="preserve">Gemma 4 26B</t>
  </si>
  <si>
    <t xml:space="preserve">Open-weight (local)</t>
  </si>
  <si>
    <t xml:space="preserve">Gemma 3 4B</t>
  </si>
  <si>
    <t xml:space="preserve">Cheapest at current assumptions:</t>
  </si>
  <si>
    <t xml:space="preserve">Most expensive at current assumptions:</t>
  </si>
  <si>
    <t xml:space="preserve">Notes:</t>
  </si>
  <si>
    <t xml:space="preserve">- Open-weight local models (Gemma via Ollama, this project's runtime) show $0.00 API cost — compute cost is your own hardware instead.</t>
  </si>
  <si>
    <t xml:space="preserve">- Several providers tier pricing upward above ~200K input tokens (e.g. Gemini 3.1 Pro roughly doubles past that point) — base tier rates shown here.</t>
  </si>
  <si>
    <t xml:space="preserve">- Prices change frequently in this market. Treat this sheet as a snapshot, not a live feed — re-verify before using for a real budget decision.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</si>
</sst>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;&quot;($&quot;#,##0.00\);\-"/>
    <numFmt numFmtId="167" formatCode="\$#,##0.0000;&quot;($&quot;#,##0.0000\);\-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1"/>
      <color rgb="FF1E2761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b val="true"/>
      <sz val="10.5"/>
      <name val="Calibri"/>
      <family val="0"/>
      <charset val="1"/>
    </font>
    <font>
      <sz val="10.5"/>
      <name val="Calibri"/>
      <family val="0"/>
      <charset val="1"/>
    </font>
    <font>
      <sz val="10.5"/>
      <color rgb="FF0000FF"/>
      <name val="Calibri"/>
      <family val="0"/>
      <charset val="1"/>
    </font>
    <font>
      <b val="true"/>
      <sz val="10.5"/>
      <color rgb="FF0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1C7293"/>
      <name val="Calibri"/>
      <family val="0"/>
      <charset val="1"/>
    </font>
    <font>
      <b val="true"/>
      <sz val="10"/>
      <color rgb="FF1E2761"/>
      <name val="Calibri"/>
      <family val="0"/>
      <charset val="1"/>
    </font>
    <font>
      <b val="true"/>
      <sz val="9"/>
      <color rgb="FF606060"/>
      <name val="Calibri"/>
      <family val="0"/>
      <charset val="1"/>
    </font>
    <font>
      <i val="true"/>
      <sz val="9"/>
      <color rgb="FF60606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C7293"/>
        <bgColor rgb="FF008080"/>
      </patternFill>
    </fill>
    <fill>
      <patternFill patternType="solid">
        <fgColor rgb="FFF2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08080"/>
      <rgbColor rgb="FF9999FF"/>
      <rgbColor rgb="FF993366"/>
      <rgbColor rgb="FFFFFFCC"/>
      <rgbColor rgb="FFF2F6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3000</v>
      </c>
    </row>
    <row r="6" customFormat="false" ht="15" hidden="false" customHeight="false" outlineLevel="0" collapsed="false">
      <c r="A6" s="4" t="s">
        <v>4</v>
      </c>
      <c r="B6" s="5" t="n">
        <v>500</v>
      </c>
    </row>
    <row r="8" customFormat="false" ht="26.85" hidden="false" customHeight="fals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</row>
    <row r="9" customFormat="false" ht="15" hidden="false" customHeight="false" outlineLevel="0" collapsed="false">
      <c r="A9" s="7" t="s">
        <v>13</v>
      </c>
      <c r="B9" s="8" t="s">
        <v>14</v>
      </c>
      <c r="C9" s="8" t="s">
        <v>15</v>
      </c>
      <c r="D9" s="9" t="n">
        <v>200000</v>
      </c>
      <c r="E9" s="10" t="n">
        <v>5</v>
      </c>
      <c r="F9" s="10" t="n">
        <v>25</v>
      </c>
      <c r="G9" s="11" t="n">
        <f aca="false">(E9/1000000*$B$5)+(F9/1000000*$B$6)</f>
        <v>0.0275</v>
      </c>
      <c r="H9" s="12" t="n">
        <v>2026</v>
      </c>
    </row>
    <row r="10" customFormat="false" ht="15" hidden="false" customHeight="false" outlineLevel="0" collapsed="false">
      <c r="A10" s="13" t="s">
        <v>16</v>
      </c>
      <c r="B10" s="14" t="s">
        <v>14</v>
      </c>
      <c r="C10" s="14" t="s">
        <v>15</v>
      </c>
      <c r="D10" s="15" t="n">
        <v>200000</v>
      </c>
      <c r="E10" s="16" t="n">
        <v>3</v>
      </c>
      <c r="F10" s="16" t="n">
        <v>15</v>
      </c>
      <c r="G10" s="17" t="n">
        <f aca="false">(E10/1000000*$B$5)+(F10/1000000*$B$6)</f>
        <v>0.0165</v>
      </c>
      <c r="H10" s="18" t="n">
        <v>2026</v>
      </c>
    </row>
    <row r="11" customFormat="false" ht="15" hidden="false" customHeight="false" outlineLevel="0" collapsed="false">
      <c r="A11" s="7" t="s">
        <v>17</v>
      </c>
      <c r="B11" s="8" t="s">
        <v>14</v>
      </c>
      <c r="C11" s="8" t="s">
        <v>15</v>
      </c>
      <c r="D11" s="9" t="n">
        <v>200000</v>
      </c>
      <c r="E11" s="10" t="n">
        <v>1</v>
      </c>
      <c r="F11" s="10" t="n">
        <v>5</v>
      </c>
      <c r="G11" s="11" t="n">
        <f aca="false">(E11/1000000*$B$5)+(F11/1000000*$B$6)</f>
        <v>0.0055</v>
      </c>
      <c r="H11" s="12" t="n">
        <v>2025</v>
      </c>
    </row>
    <row r="12" customFormat="false" ht="15" hidden="false" customHeight="false" outlineLevel="0" collapsed="false">
      <c r="A12" s="13" t="s">
        <v>18</v>
      </c>
      <c r="B12" s="14" t="s">
        <v>19</v>
      </c>
      <c r="C12" s="14" t="s">
        <v>15</v>
      </c>
      <c r="D12" s="15" t="n">
        <v>400000</v>
      </c>
      <c r="E12" s="16" t="n">
        <v>5</v>
      </c>
      <c r="F12" s="16" t="n">
        <v>30</v>
      </c>
      <c r="G12" s="17" t="n">
        <f aca="false">(E12/1000000*$B$5)+(F12/1000000*$B$6)</f>
        <v>0.03</v>
      </c>
      <c r="H12" s="18" t="n">
        <v>2026</v>
      </c>
    </row>
    <row r="13" customFormat="false" ht="15" hidden="false" customHeight="false" outlineLevel="0" collapsed="false">
      <c r="A13" s="7" t="s">
        <v>20</v>
      </c>
      <c r="B13" s="8" t="s">
        <v>19</v>
      </c>
      <c r="C13" s="8" t="s">
        <v>15</v>
      </c>
      <c r="D13" s="9" t="n">
        <v>400000</v>
      </c>
      <c r="E13" s="10" t="n">
        <v>2.5</v>
      </c>
      <c r="F13" s="10" t="n">
        <v>15</v>
      </c>
      <c r="G13" s="11" t="n">
        <f aca="false">(E13/1000000*$B$5)+(F13/1000000*$B$6)</f>
        <v>0.015</v>
      </c>
      <c r="H13" s="12" t="n">
        <v>2026</v>
      </c>
    </row>
    <row r="14" customFormat="false" ht="15" hidden="false" customHeight="false" outlineLevel="0" collapsed="false">
      <c r="A14" s="13" t="s">
        <v>21</v>
      </c>
      <c r="B14" s="14" t="s">
        <v>22</v>
      </c>
      <c r="C14" s="14" t="s">
        <v>15</v>
      </c>
      <c r="D14" s="15" t="n">
        <v>200000</v>
      </c>
      <c r="E14" s="16" t="n">
        <v>2</v>
      </c>
      <c r="F14" s="16" t="n">
        <v>12</v>
      </c>
      <c r="G14" s="17" t="n">
        <f aca="false">(E14/1000000*$B$5)+(F14/1000000*$B$6)</f>
        <v>0.012</v>
      </c>
      <c r="H14" s="18" t="n">
        <v>2026</v>
      </c>
    </row>
    <row r="15" customFormat="false" ht="15" hidden="false" customHeight="false" outlineLevel="0" collapsed="false">
      <c r="A15" s="7" t="s">
        <v>23</v>
      </c>
      <c r="B15" s="8" t="s">
        <v>22</v>
      </c>
      <c r="C15" s="8" t="s">
        <v>15</v>
      </c>
      <c r="D15" s="9" t="n">
        <v>1000000</v>
      </c>
      <c r="E15" s="10" t="n">
        <v>0.5</v>
      </c>
      <c r="F15" s="10" t="n">
        <v>3</v>
      </c>
      <c r="G15" s="11" t="n">
        <f aca="false">(E15/1000000*$B$5)+(F15/1000000*$B$6)</f>
        <v>0.003</v>
      </c>
      <c r="H15" s="12" t="n">
        <v>2026</v>
      </c>
    </row>
    <row r="16" customFormat="false" ht="15" hidden="false" customHeight="false" outlineLevel="0" collapsed="false">
      <c r="A16" s="13" t="s">
        <v>24</v>
      </c>
      <c r="B16" s="14" t="s">
        <v>25</v>
      </c>
      <c r="C16" s="14" t="s">
        <v>26</v>
      </c>
      <c r="D16" s="15" t="n">
        <v>1000000</v>
      </c>
      <c r="E16" s="16" t="n">
        <v>0.14</v>
      </c>
      <c r="F16" s="16" t="n">
        <v>0.28</v>
      </c>
      <c r="G16" s="17" t="n">
        <f aca="false">(E16/1000000*$B$5)+(F16/1000000*$B$6)</f>
        <v>0.00056</v>
      </c>
      <c r="H16" s="18" t="n">
        <v>2026</v>
      </c>
    </row>
    <row r="17" customFormat="false" ht="15" hidden="false" customHeight="false" outlineLevel="0" collapsed="false">
      <c r="A17" s="7" t="s">
        <v>27</v>
      </c>
      <c r="B17" s="8" t="s">
        <v>25</v>
      </c>
      <c r="C17" s="8" t="s">
        <v>26</v>
      </c>
      <c r="D17" s="9" t="n">
        <v>1000000</v>
      </c>
      <c r="E17" s="10" t="n">
        <v>1.74</v>
      </c>
      <c r="F17" s="10" t="n">
        <v>3.48</v>
      </c>
      <c r="G17" s="11" t="n">
        <f aca="false">(E17/1000000*$B$5)+(F17/1000000*$B$6)</f>
        <v>0.00696</v>
      </c>
      <c r="H17" s="12" t="n">
        <v>2026</v>
      </c>
    </row>
    <row r="18" customFormat="false" ht="15" hidden="false" customHeight="false" outlineLevel="0" collapsed="false">
      <c r="A18" s="13" t="s">
        <v>28</v>
      </c>
      <c r="B18" s="14" t="s">
        <v>29</v>
      </c>
      <c r="C18" s="14" t="s">
        <v>26</v>
      </c>
      <c r="D18" s="15" t="n">
        <v>1000000</v>
      </c>
      <c r="E18" s="16" t="n">
        <v>0</v>
      </c>
      <c r="F18" s="16" t="n">
        <v>0</v>
      </c>
      <c r="G18" s="17" t="n">
        <f aca="false">(E18/1000000*$B$5)+(F18/1000000*$B$6)</f>
        <v>0</v>
      </c>
      <c r="H18" s="18" t="n">
        <v>2025</v>
      </c>
    </row>
    <row r="19" customFormat="false" ht="15" hidden="false" customHeight="false" outlineLevel="0" collapsed="false">
      <c r="A19" s="7" t="s">
        <v>30</v>
      </c>
      <c r="B19" s="8" t="s">
        <v>22</v>
      </c>
      <c r="C19" s="8" t="s">
        <v>31</v>
      </c>
      <c r="D19" s="9" t="n">
        <v>128000</v>
      </c>
      <c r="E19" s="10" t="n">
        <v>0</v>
      </c>
      <c r="F19" s="10" t="n">
        <v>0</v>
      </c>
      <c r="G19" s="11" t="n">
        <f aca="false">(E19/1000000*$B$5)+(F19/1000000*$B$6)</f>
        <v>0</v>
      </c>
      <c r="H19" s="12" t="n">
        <v>2026</v>
      </c>
    </row>
    <row r="20" customFormat="false" ht="15" hidden="false" customHeight="false" outlineLevel="0" collapsed="false">
      <c r="A20" s="13" t="s">
        <v>32</v>
      </c>
      <c r="B20" s="14" t="s">
        <v>22</v>
      </c>
      <c r="C20" s="14" t="s">
        <v>31</v>
      </c>
      <c r="D20" s="15" t="n">
        <v>128000</v>
      </c>
      <c r="E20" s="16" t="n">
        <v>0</v>
      </c>
      <c r="F20" s="16" t="n">
        <v>0</v>
      </c>
      <c r="G20" s="17" t="n">
        <f aca="false">(E20/1000000*$B$5)+(F20/1000000*$B$6)</f>
        <v>0</v>
      </c>
      <c r="H20" s="18" t="n">
        <v>2025</v>
      </c>
    </row>
    <row r="22" customFormat="false" ht="15" hidden="false" customHeight="false" outlineLevel="0" collapsed="false">
      <c r="A22" s="19" t="s">
        <v>33</v>
      </c>
      <c r="B22" s="20" t="str">
        <f aca="false">INDEX(A9:A20,MATCH(MIN(G9:G20),G9:G20,0))</f>
        <v>Llama 4 Maverick</v>
      </c>
    </row>
    <row r="23" customFormat="false" ht="15" hidden="false" customHeight="false" outlineLevel="0" collapsed="false">
      <c r="A23" s="19" t="s">
        <v>34</v>
      </c>
      <c r="B23" s="21" t="str">
        <f aca="false">INDEX(A9:A20,MATCH(MAX(G9:G20),G9:G20,0))</f>
        <v>GPT-5.5</v>
      </c>
    </row>
    <row r="25" customFormat="false" ht="15" hidden="false" customHeight="false" outlineLevel="0" collapsed="false">
      <c r="A25" s="22" t="s">
        <v>35</v>
      </c>
      <c r="B25" s="22"/>
      <c r="C25" s="22"/>
      <c r="D25" s="22"/>
      <c r="E25" s="22"/>
      <c r="F25" s="22"/>
      <c r="G25" s="22"/>
      <c r="H25" s="22"/>
    </row>
    <row r="26" customFormat="false" ht="15" hidden="false" customHeight="false" outlineLevel="0" collapsed="false">
      <c r="A26" s="23" t="s">
        <v>36</v>
      </c>
      <c r="B26" s="23"/>
      <c r="C26" s="23"/>
      <c r="D26" s="23"/>
      <c r="E26" s="23"/>
      <c r="F26" s="23"/>
      <c r="G26" s="23"/>
      <c r="H26" s="23"/>
    </row>
    <row r="27" customFormat="false" ht="15" hidden="false" customHeight="false" outlineLevel="0" collapsed="false">
      <c r="A27" s="23" t="s">
        <v>37</v>
      </c>
      <c r="B27" s="23"/>
      <c r="C27" s="23"/>
      <c r="D27" s="23"/>
      <c r="E27" s="23"/>
      <c r="F27" s="23"/>
      <c r="G27" s="23"/>
      <c r="H27" s="23"/>
    </row>
    <row r="28" customFormat="false" ht="15" hidden="false" customHeight="false" outlineLevel="0" collapsed="false">
      <c r="A28" s="23" t="s">
        <v>38</v>
      </c>
      <c r="B28" s="23"/>
      <c r="C28" s="23"/>
      <c r="D28" s="23"/>
      <c r="E28" s="23"/>
      <c r="F28" s="23"/>
      <c r="G28" s="23"/>
      <c r="H28" s="23"/>
    </row>
  </sheetData>
  <mergeCells count="7">
    <mergeCell ref="A1:H1"/>
    <mergeCell ref="A2:H2"/>
    <mergeCell ref="A4:D4"/>
    <mergeCell ref="A25:H25"/>
    <mergeCell ref="A26:H26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2026-07-02T03:16:19Z</dcterms:created>
  <dc:creator>openpyxl</dc:creator>
  <dc:description/>
  <dc:language>en-US</dc:language>
  <cp:lastModifiedBy/>
  <dcterms:modified xsi:type="dcterms:W3CDTF">2026-07-02T03:16:19Z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